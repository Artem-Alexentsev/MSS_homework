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sus\Desktop\МСС\1\"/>
    </mc:Choice>
  </mc:AlternateContent>
  <xr:revisionPtr revIDLastSave="0" documentId="13_ncr:1_{C1D3D671-B36B-4A76-9DB2-33BD14C679B2}" xr6:coauthVersionLast="47" xr6:coauthVersionMax="47" xr10:uidLastSave="{00000000-0000-0000-0000-000000000000}"/>
  <bookViews>
    <workbookView xWindow="-120" yWindow="-120" windowWidth="20730" windowHeight="11310" activeTab="1" xr2:uid="{00000000-000D-0000-FFFF-FFFF00000000}"/>
  </bookViews>
  <sheets>
    <sheet name="Лист1" sheetId="1" r:id="rId1"/>
    <sheet name="Лист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2" l="1"/>
  <c r="F13" i="2" s="1"/>
  <c r="G17" i="2" s="1"/>
  <c r="AJ13" i="2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C5" i="1"/>
  <c r="AJ13" i="1"/>
  <c r="F13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4" i="1"/>
  <c r="C5" i="2" l="1"/>
  <c r="AI16" i="2" l="1"/>
  <c r="AE16" i="2"/>
  <c r="AA16" i="2"/>
  <c r="W16" i="2"/>
  <c r="S16" i="2"/>
  <c r="O16" i="2"/>
  <c r="K16" i="2"/>
  <c r="G16" i="2"/>
  <c r="AC16" i="2"/>
  <c r="M16" i="2"/>
  <c r="AH16" i="2"/>
  <c r="AD16" i="2"/>
  <c r="Z16" i="2"/>
  <c r="V16" i="2"/>
  <c r="R16" i="2"/>
  <c r="N16" i="2"/>
  <c r="J16" i="2"/>
  <c r="AG16" i="2"/>
  <c r="Y16" i="2"/>
  <c r="U16" i="2"/>
  <c r="Q16" i="2"/>
  <c r="I16" i="2"/>
  <c r="AF16" i="2"/>
  <c r="AB16" i="2"/>
  <c r="X16" i="2"/>
  <c r="T16" i="2"/>
  <c r="P16" i="2"/>
  <c r="L16" i="2"/>
  <c r="H16" i="2"/>
</calcChain>
</file>

<file path=xl/sharedStrings.xml><?xml version="1.0" encoding="utf-8"?>
<sst xmlns="http://schemas.openxmlformats.org/spreadsheetml/2006/main" count="25" uniqueCount="13">
  <si>
    <t>L</t>
  </si>
  <si>
    <t>dx</t>
  </si>
  <si>
    <t>dt</t>
  </si>
  <si>
    <t>t</t>
  </si>
  <si>
    <t>Cp</t>
  </si>
  <si>
    <t>r0</t>
  </si>
  <si>
    <t>lamda</t>
  </si>
  <si>
    <t>T</t>
  </si>
  <si>
    <t>T_start</t>
  </si>
  <si>
    <t>T_end</t>
  </si>
  <si>
    <t>T_iter</t>
  </si>
  <si>
    <t>q_start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</si>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</sst>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0.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7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44-4446-AF34-DB2DB105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0C-41CB-9013-77A08E3E6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22</xdr:row>
      <xdr:rowOff>135081</xdr:rowOff>
    </xdr:from>
    <xdr:to>
      <xdr:col>12</xdr:col>
      <xdr:colOff>138545</xdr:colOff>
      <xdr:row>48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6A7FCA1-F4A2-456B-8A8A-41F2B9AEA9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335671</xdr:colOff>
      <xdr:row>22</xdr:row>
      <xdr:rowOff>184325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3400236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3400236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7021100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7021100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22</xdr:row>
      <xdr:rowOff>135081</xdr:rowOff>
    </xdr:from>
    <xdr:to>
      <xdr:col>12</xdr:col>
      <xdr:colOff>138545</xdr:colOff>
      <xdr:row>48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E0E5130-C511-489E-80C8-BC795C6D6F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335671</xdr:colOff>
      <xdr:row>22</xdr:row>
      <xdr:rowOff>184325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EF8A70-A06B-4CC7-9086-A3097DE86540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EF8A70-A06B-4CC7-9086-A3097DE86540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A08168E-CF62-4D9E-9938-EADEB5072522}"/>
                </a:ext>
              </a:extLst>
            </xdr:cNvPr>
            <xdr:cNvSpPr txBox="1"/>
          </xdr:nvSpPr>
          <xdr:spPr>
            <a:xfrm>
              <a:off x="7063682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A08168E-CF62-4D9E-9938-EADEB5072522}"/>
                </a:ext>
              </a:extLst>
            </xdr:cNvPr>
            <xdr:cNvSpPr txBox="1"/>
          </xdr:nvSpPr>
          <xdr:spPr>
            <a:xfrm>
              <a:off x="7063682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16"/>
  <sheetViews>
    <sheetView topLeftCell="A4" zoomScale="55" zoomScaleNormal="55" workbookViewId="0">
      <selection activeCell="R31" sqref="A1:XFD1048576"/>
    </sheetView>
  </sheetViews>
  <sheetFormatPr defaultRowHeight="15" x14ac:dyDescent="0.25"/>
  <cols>
    <col min="7" max="7" width="12.57031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1">
        <f>(C9*C8*C4^2)/(2*C10)</f>
        <v>0.4333333333333334</v>
      </c>
    </row>
    <row r="6" spans="2:36" x14ac:dyDescent="0.25">
      <c r="B6" s="1" t="s">
        <v>3</v>
      </c>
      <c r="C6" s="1">
        <v>500</v>
      </c>
      <c r="D6">
        <v>500.06666666666672</v>
      </c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8</v>
      </c>
      <c r="C12" s="1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9</v>
      </c>
      <c r="C13" s="1">
        <v>100</v>
      </c>
      <c r="E13" t="s">
        <v>7</v>
      </c>
      <c r="F13">
        <f>C12</f>
        <v>300</v>
      </c>
      <c r="G13">
        <v>293.32310708172031</v>
      </c>
      <c r="H13">
        <v>286.64621416344067</v>
      </c>
      <c r="I13">
        <v>279.96976818142753</v>
      </c>
      <c r="J13">
        <v>273.29332219941438</v>
      </c>
      <c r="K13">
        <v>266.61775055667476</v>
      </c>
      <c r="L13">
        <v>259.94217891393515</v>
      </c>
      <c r="M13">
        <v>253.26787080065432</v>
      </c>
      <c r="N13">
        <v>246.59356268737349</v>
      </c>
      <c r="O13">
        <v>239.9208520714362</v>
      </c>
      <c r="P13">
        <v>233.24814145549891</v>
      </c>
      <c r="Q13">
        <v>226.57729248649036</v>
      </c>
      <c r="R13">
        <v>219.90644351748179</v>
      </c>
      <c r="S13">
        <v>213.23763898208321</v>
      </c>
      <c r="T13">
        <v>206.56883444668463</v>
      </c>
      <c r="U13">
        <v>199.9021677800182</v>
      </c>
      <c r="V13">
        <v>193.2355011133518</v>
      </c>
      <c r="W13">
        <v>186.57097231541749</v>
      </c>
      <c r="X13">
        <v>179.90644351748318</v>
      </c>
      <c r="Y13">
        <v>173.24395915315873</v>
      </c>
      <c r="Z13">
        <v>166.58147478883427</v>
      </c>
      <c r="AA13">
        <v>159.92085207143839</v>
      </c>
      <c r="AB13">
        <v>153.26022935404251</v>
      </c>
      <c r="AC13">
        <v>146.60120413398997</v>
      </c>
      <c r="AD13">
        <v>139.94217891393743</v>
      </c>
      <c r="AE13">
        <v>133.28441722334344</v>
      </c>
      <c r="AF13">
        <v>126.62665553274945</v>
      </c>
      <c r="AG13">
        <v>119.96976818142888</v>
      </c>
      <c r="AH13">
        <v>113.3128808301083</v>
      </c>
      <c r="AI13">
        <v>106.65644041505415</v>
      </c>
      <c r="AJ13">
        <f>C13</f>
        <v>100</v>
      </c>
    </row>
    <row r="16" spans="2:36" x14ac:dyDescent="0.25">
      <c r="E16" t="s">
        <v>10</v>
      </c>
      <c r="G16">
        <f>G13+(($C$10*$C$5)/($C$9*$C$8))*( (H13-2*G13+F13)/($C$4^2))</f>
        <v>293.32310708172031</v>
      </c>
      <c r="H16">
        <f t="shared" ref="H16:AI16" si="1">H13+(($C$10*$C$5)/($C$9*$C$8))*( (I13-2*H13+G13)/($C$4^2))</f>
        <v>286.64643763157392</v>
      </c>
      <c r="I16">
        <f t="shared" si="1"/>
        <v>279.96976818142753</v>
      </c>
      <c r="J16">
        <f t="shared" si="1"/>
        <v>273.29375936905114</v>
      </c>
      <c r="K16">
        <f t="shared" si="1"/>
        <v>266.61775055667476</v>
      </c>
      <c r="L16">
        <f t="shared" si="1"/>
        <v>259.94281067866456</v>
      </c>
      <c r="M16">
        <f t="shared" si="1"/>
        <v>253.26787080065432</v>
      </c>
      <c r="N16">
        <f t="shared" si="1"/>
        <v>246.59436143604526</v>
      </c>
      <c r="O16">
        <f t="shared" si="1"/>
        <v>239.9208520714362</v>
      </c>
      <c r="P16">
        <f t="shared" si="1"/>
        <v>233.2490722789633</v>
      </c>
      <c r="Q16">
        <f t="shared" si="1"/>
        <v>226.57729248649036</v>
      </c>
      <c r="R16">
        <f t="shared" si="1"/>
        <v>219.9074657342868</v>
      </c>
      <c r="S16">
        <f t="shared" si="1"/>
        <v>213.23763898208321</v>
      </c>
      <c r="T16">
        <f t="shared" si="1"/>
        <v>206.56990338105072</v>
      </c>
      <c r="U16">
        <f t="shared" si="1"/>
        <v>199.9021677800182</v>
      </c>
      <c r="V16">
        <f t="shared" si="1"/>
        <v>193.23657004771786</v>
      </c>
      <c r="W16">
        <f t="shared" si="1"/>
        <v>186.57097231541749</v>
      </c>
      <c r="X16">
        <f t="shared" si="1"/>
        <v>179.90746573428811</v>
      </c>
      <c r="Y16">
        <f t="shared" si="1"/>
        <v>173.24395915315873</v>
      </c>
      <c r="Z16">
        <f t="shared" si="1"/>
        <v>166.58240561229854</v>
      </c>
      <c r="AA16">
        <f t="shared" si="1"/>
        <v>159.92085207143839</v>
      </c>
      <c r="AB16">
        <f t="shared" si="1"/>
        <v>153.26102810271419</v>
      </c>
      <c r="AC16">
        <f t="shared" si="1"/>
        <v>146.60120413398997</v>
      </c>
      <c r="AD16">
        <f t="shared" si="1"/>
        <v>139.94281067866672</v>
      </c>
      <c r="AE16">
        <f t="shared" si="1"/>
        <v>133.28441722334344</v>
      </c>
      <c r="AF16">
        <f t="shared" si="1"/>
        <v>126.62709270238616</v>
      </c>
      <c r="AG16">
        <f t="shared" si="1"/>
        <v>119.96976818142888</v>
      </c>
      <c r="AH16">
        <f t="shared" si="1"/>
        <v>113.31310429824151</v>
      </c>
      <c r="AI16">
        <f t="shared" si="1"/>
        <v>106.65644041505415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1AC25-8B44-4F58-9EAD-66F675C6C741}">
  <dimension ref="B3:AJ17"/>
  <sheetViews>
    <sheetView tabSelected="1" workbookViewId="0">
      <selection activeCell="G13" sqref="G13:AI13"/>
    </sheetView>
  </sheetViews>
  <sheetFormatPr defaultRowHeight="15" x14ac:dyDescent="0.25"/>
  <cols>
    <col min="7" max="7" width="12.57031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1">
        <f>(C9*C8*C4^2)/(2*C10)</f>
        <v>0.4333333333333334</v>
      </c>
    </row>
    <row r="6" spans="2:36" x14ac:dyDescent="0.25">
      <c r="B6" s="1" t="s">
        <v>3</v>
      </c>
      <c r="C6" s="1">
        <v>4500</v>
      </c>
      <c r="D6">
        <v>4500.166666666667</v>
      </c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11</v>
      </c>
      <c r="C12" s="1">
        <v>92000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9</v>
      </c>
      <c r="C13" s="1">
        <v>100</v>
      </c>
      <c r="E13" t="s">
        <v>7</v>
      </c>
      <c r="F13">
        <f>(F17/C10)*C4+G13</f>
        <v>299.99997763108735</v>
      </c>
      <c r="G13">
        <v>293.33331096442066</v>
      </c>
      <c r="H13">
        <v>286.6666443611611</v>
      </c>
      <c r="I13">
        <v>279.99997782112894</v>
      </c>
      <c r="J13">
        <v>273.33331134396514</v>
      </c>
      <c r="K13">
        <v>266.66664492913264</v>
      </c>
      <c r="L13">
        <v>259.99997857591751</v>
      </c>
      <c r="M13">
        <v>253.3333122834313</v>
      </c>
      <c r="N13">
        <v>246.66664605061328</v>
      </c>
      <c r="O13">
        <v>239.99997987623377</v>
      </c>
      <c r="P13">
        <v>233.33331375889719</v>
      </c>
      <c r="Q13">
        <v>226.66664769704656</v>
      </c>
      <c r="R13">
        <v>219.9999816889673</v>
      </c>
      <c r="S13">
        <v>213.33331573279273</v>
      </c>
      <c r="T13">
        <v>206.66664982650872</v>
      </c>
      <c r="U13">
        <v>199.99998396796005</v>
      </c>
      <c r="V13">
        <v>193.33331815485587</v>
      </c>
      <c r="W13">
        <v>186.6666523847768</v>
      </c>
      <c r="X13">
        <v>179.99998665518126</v>
      </c>
      <c r="Y13">
        <v>173.33332096341309</v>
      </c>
      <c r="Z13">
        <v>166.66665530670878</v>
      </c>
      <c r="AA13">
        <v>159.9999896822055</v>
      </c>
      <c r="AB13">
        <v>153.33332408694912</v>
      </c>
      <c r="AC13">
        <v>146.66665851790265</v>
      </c>
      <c r="AD13">
        <v>139.99999297195473</v>
      </c>
      <c r="AE13">
        <v>133.33332744592857</v>
      </c>
      <c r="AF13">
        <v>126.66666193659087</v>
      </c>
      <c r="AG13">
        <v>119.99999644066111</v>
      </c>
      <c r="AH13">
        <v>113.3333309548207</v>
      </c>
      <c r="AI13">
        <v>106.66666547572241</v>
      </c>
      <c r="AJ13">
        <f>C13</f>
        <v>100</v>
      </c>
    </row>
    <row r="16" spans="2:36" x14ac:dyDescent="0.25">
      <c r="E16" t="s">
        <v>10</v>
      </c>
      <c r="G16">
        <f>G13+(($C$10*$C$5)/($C$9*$C$8))*( (H13-2*G13+F13)/($C$4^2))</f>
        <v>293.33331099612423</v>
      </c>
      <c r="H16">
        <f t="shared" ref="H16:AI16" si="1">H13+(($C$10*$C$5)/($C$9*$C$8))*( (I13-2*H13+G13)/($C$4^2))</f>
        <v>286.6666443927748</v>
      </c>
      <c r="I16">
        <f t="shared" si="1"/>
        <v>279.99997785256312</v>
      </c>
      <c r="J16">
        <f t="shared" si="1"/>
        <v>273.33331137513079</v>
      </c>
      <c r="K16">
        <f t="shared" si="1"/>
        <v>266.66664495994132</v>
      </c>
      <c r="L16">
        <f t="shared" si="1"/>
        <v>259.99997860628196</v>
      </c>
      <c r="M16">
        <f t="shared" si="1"/>
        <v>253.3333123132654</v>
      </c>
      <c r="N16">
        <f t="shared" si="1"/>
        <v>246.66664607983253</v>
      </c>
      <c r="O16">
        <f t="shared" si="1"/>
        <v>239.99997990475524</v>
      </c>
      <c r="P16">
        <f t="shared" si="1"/>
        <v>233.33331378664016</v>
      </c>
      <c r="Q16">
        <f t="shared" si="1"/>
        <v>226.66664772393224</v>
      </c>
      <c r="R16">
        <f t="shared" si="1"/>
        <v>219.99998171491964</v>
      </c>
      <c r="S16">
        <f t="shared" si="1"/>
        <v>213.33331575773801</v>
      </c>
      <c r="T16">
        <f t="shared" si="1"/>
        <v>206.66664985037639</v>
      </c>
      <c r="U16">
        <f t="shared" si="1"/>
        <v>199.9999839906823</v>
      </c>
      <c r="V16">
        <f t="shared" si="1"/>
        <v>193.33331817636844</v>
      </c>
      <c r="W16">
        <f t="shared" si="1"/>
        <v>186.66665240501857</v>
      </c>
      <c r="X16">
        <f t="shared" si="1"/>
        <v>179.99998667409494</v>
      </c>
      <c r="Y16">
        <f t="shared" si="1"/>
        <v>173.33332098094502</v>
      </c>
      <c r="Z16">
        <f t="shared" si="1"/>
        <v>166.66665532280928</v>
      </c>
      <c r="AA16">
        <f t="shared" si="1"/>
        <v>159.99998969682895</v>
      </c>
      <c r="AB16">
        <f t="shared" si="1"/>
        <v>153.33332410005409</v>
      </c>
      <c r="AC16">
        <f t="shared" si="1"/>
        <v>146.66665852945192</v>
      </c>
      <c r="AD16">
        <f t="shared" si="1"/>
        <v>139.99999298191563</v>
      </c>
      <c r="AE16">
        <f t="shared" si="1"/>
        <v>133.33332745427279</v>
      </c>
      <c r="AF16">
        <f t="shared" si="1"/>
        <v>126.66666194329484</v>
      </c>
      <c r="AG16">
        <f t="shared" si="1"/>
        <v>119.99999644570579</v>
      </c>
      <c r="AH16">
        <f t="shared" si="1"/>
        <v>113.33333095819177</v>
      </c>
      <c r="AI16">
        <f t="shared" si="1"/>
        <v>106.66666547741035</v>
      </c>
    </row>
    <row r="17" spans="5:35" x14ac:dyDescent="0.25">
      <c r="E17" t="s">
        <v>12</v>
      </c>
      <c r="F17">
        <f>C12</f>
        <v>92000</v>
      </c>
      <c r="G17">
        <f>-$C$10*((G13-F13)/$C$4)</f>
        <v>92000.000000000247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2015-06-05T18:19:34Z</dcterms:created>
  <dcterms:modified xsi:type="dcterms:W3CDTF">2021-09-21T08:38:51Z</dcterms:modified>
</cp:coreProperties>
</file>